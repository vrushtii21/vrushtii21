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shti Chirag Shah\tops\Statistics\"/>
    </mc:Choice>
  </mc:AlternateContent>
  <xr:revisionPtr revIDLastSave="0" documentId="8_{06B96A75-8785-4B90-97F7-32F5974A6584}" xr6:coauthVersionLast="47" xr6:coauthVersionMax="47" xr10:uidLastSave="{00000000-0000-0000-0000-000000000000}"/>
  <bookViews>
    <workbookView xWindow="9510" yWindow="0" windowWidth="9780" windowHeight="10170" xr2:uid="{F3C9335D-E24E-4DFC-B3CF-42358A37A0B4}"/>
  </bookViews>
  <sheets>
    <sheet name="Sheet1" sheetId="1" r:id="rId1"/>
  </sheets>
  <definedNames>
    <definedName name="_xlchart.v1.0" hidden="1">Sheet1!$A$109:$A$115</definedName>
    <definedName name="_xlchart.v1.1" hidden="1">Sheet1!$B$108</definedName>
    <definedName name="_xlchart.v1.2" hidden="1">Sheet1!$B$109:$B$115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0" i="1" l="1"/>
  <c r="B333" i="1"/>
  <c r="B332" i="1"/>
  <c r="B330" i="1"/>
  <c r="B329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292" i="1"/>
  <c r="A293" i="1"/>
  <c r="A316" i="1"/>
  <c r="A309" i="1"/>
  <c r="A310" i="1"/>
  <c r="A311" i="1"/>
  <c r="A312" i="1"/>
  <c r="A313" i="1"/>
  <c r="A314" i="1"/>
  <c r="A315" i="1"/>
  <c r="A306" i="1"/>
  <c r="A307" i="1"/>
  <c r="A308" i="1"/>
  <c r="A297" i="1"/>
  <c r="A298" i="1"/>
  <c r="A299" i="1"/>
  <c r="A300" i="1"/>
  <c r="A301" i="1"/>
  <c r="A302" i="1"/>
  <c r="A303" i="1"/>
  <c r="A304" i="1"/>
  <c r="A305" i="1"/>
  <c r="A294" i="1"/>
  <c r="A295" i="1"/>
  <c r="A296" i="1"/>
  <c r="A292" i="1"/>
  <c r="B282" i="1"/>
  <c r="B281" i="1"/>
  <c r="B280" i="1"/>
  <c r="B279" i="1"/>
  <c r="B269" i="1" l="1"/>
  <c r="A259" i="1"/>
  <c r="B248" i="1"/>
  <c r="A242" i="1"/>
  <c r="B231" i="1"/>
  <c r="B233" i="1"/>
  <c r="B234" i="1"/>
  <c r="B235" i="1"/>
  <c r="B232" i="1"/>
  <c r="C125" i="1"/>
  <c r="C124" i="1"/>
  <c r="B105" i="1"/>
  <c r="C105" i="1"/>
  <c r="D105" i="1"/>
  <c r="E105" i="1"/>
  <c r="A105" i="1"/>
  <c r="B103" i="1"/>
  <c r="C103" i="1"/>
  <c r="D103" i="1"/>
  <c r="E103" i="1"/>
  <c r="A103" i="1"/>
  <c r="D101" i="1"/>
  <c r="B101" i="1"/>
  <c r="C101" i="1"/>
  <c r="E101" i="1"/>
  <c r="A101" i="1"/>
  <c r="A86" i="1"/>
  <c r="A85" i="1"/>
  <c r="A68" i="1"/>
  <c r="A67" i="1"/>
  <c r="A66" i="1"/>
  <c r="B5" i="1"/>
  <c r="B4" i="1"/>
  <c r="B3" i="1"/>
</calcChain>
</file>

<file path=xl/sharedStrings.xml><?xml version="1.0" encoding="utf-8"?>
<sst xmlns="http://schemas.openxmlformats.org/spreadsheetml/2006/main" count="127" uniqueCount="106">
  <si>
    <t>Q1</t>
  </si>
  <si>
    <t xml:space="preserve"> Is  the average rental duration for customers at the car rental company</t>
  </si>
  <si>
    <t>is the typical or central rental duration experiencedbycustomers</t>
  </si>
  <si>
    <t>is the recurring or most frequently occurring rental durations for customers</t>
  </si>
  <si>
    <t>Q2</t>
  </si>
  <si>
    <t>Day 1</t>
  </si>
  <si>
    <t>Day 2</t>
  </si>
  <si>
    <t>Day 3</t>
  </si>
  <si>
    <t>Day 4</t>
  </si>
  <si>
    <t>Day 5</t>
  </si>
  <si>
    <t>is the range of delivery times.</t>
  </si>
  <si>
    <t>is the variance of the delivery times.</t>
  </si>
  <si>
    <t>is the standard deviation of the delivery times</t>
  </si>
  <si>
    <t>Q3</t>
  </si>
  <si>
    <t>is the average monthly revenuefor the product</t>
  </si>
  <si>
    <t>is the is the range of monthly revenue for the product</t>
  </si>
  <si>
    <t>Q4</t>
  </si>
  <si>
    <t>A</t>
  </si>
  <si>
    <t>B</t>
  </si>
  <si>
    <t>C</t>
  </si>
  <si>
    <t>D</t>
  </si>
  <si>
    <t>E</t>
  </si>
  <si>
    <t>AVG</t>
  </si>
  <si>
    <t>Range</t>
  </si>
  <si>
    <t>Variance</t>
  </si>
  <si>
    <t>Q5</t>
  </si>
  <si>
    <t>F</t>
  </si>
  <si>
    <t>G</t>
  </si>
  <si>
    <t>defect type</t>
  </si>
  <si>
    <t>Frequency</t>
  </si>
  <si>
    <t>a. E has the highest frequency</t>
  </si>
  <si>
    <t>Q6</t>
  </si>
  <si>
    <t>Ratings</t>
  </si>
  <si>
    <t>skewness</t>
  </si>
  <si>
    <t>kurtosis</t>
  </si>
  <si>
    <t>negatively skewed</t>
  </si>
  <si>
    <t>negative kurtosis</t>
  </si>
  <si>
    <t>Q7</t>
  </si>
  <si>
    <t>Q1 (25th Percentile)</t>
  </si>
  <si>
    <t>Median (Q2)</t>
  </si>
  <si>
    <t>Q3 (75th Percentile)</t>
  </si>
  <si>
    <t>15th Percentile</t>
  </si>
  <si>
    <t>85th Percentile</t>
  </si>
  <si>
    <t>interpretation</t>
  </si>
  <si>
    <t xml:space="preserve"> interpretation: most of the people are obese or fat as median is 267.5 kg</t>
  </si>
  <si>
    <t>Q8</t>
  </si>
  <si>
    <t>hours</t>
  </si>
  <si>
    <t>scores</t>
  </si>
  <si>
    <t>strong positive reationship</t>
  </si>
  <si>
    <t>Q9</t>
  </si>
  <si>
    <t>n= 10</t>
  </si>
  <si>
    <t>p = 0.25</t>
  </si>
  <si>
    <t>Q10</t>
  </si>
  <si>
    <t>mean = 1000</t>
  </si>
  <si>
    <t>sd = 100</t>
  </si>
  <si>
    <t xml:space="preserve"> lower limit= 900</t>
  </si>
  <si>
    <t>upper limit = 1100</t>
  </si>
  <si>
    <t>Q11</t>
  </si>
  <si>
    <t>n</t>
  </si>
  <si>
    <t>mean =</t>
  </si>
  <si>
    <t>sd</t>
  </si>
  <si>
    <t>alpha</t>
  </si>
  <si>
    <t>Q12</t>
  </si>
  <si>
    <t>PMEAN</t>
  </si>
  <si>
    <t>mean</t>
  </si>
  <si>
    <t>ho-the population mean weight is equal to the claimed value</t>
  </si>
  <si>
    <t>h1-the population mean weight is not equal to the claimed value</t>
  </si>
  <si>
    <t>t</t>
  </si>
  <si>
    <t>df</t>
  </si>
  <si>
    <t>crit value</t>
  </si>
  <si>
    <t>t-crit</t>
  </si>
  <si>
    <t>tstat</t>
  </si>
  <si>
    <t>p value</t>
  </si>
  <si>
    <t>&lt;</t>
  </si>
  <si>
    <t>&gt;</t>
  </si>
  <si>
    <t>here our P value is less than significant level of alpha (0.0197&gt;0.05) there fore we conclude that we reject null hypothesis and we conclude that there is a significant difference between the population mean weight abd claimed value.</t>
  </si>
  <si>
    <t>conclusion:</t>
  </si>
  <si>
    <t>Q13</t>
  </si>
  <si>
    <t>group 1</t>
  </si>
  <si>
    <t>group 2</t>
  </si>
  <si>
    <t>t-Test: Two-Sample Assuming Equal Variances</t>
  </si>
  <si>
    <t>Mean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</si>
  <si>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</si>
  <si>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</si>
  <si>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</si>
  <si>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</si>
  <si>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</si>
  <si>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</si>
  <si>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</si>
  <si>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</si>
  <si>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H0-there is no significant difference between the means</t>
  </si>
  <si>
    <t>h1-there is a significant difference between the means</t>
  </si>
  <si>
    <t>t crit</t>
  </si>
  <si>
    <t>o.81</t>
  </si>
  <si>
    <t>here our P value is more than significant level of alpha (0.81&gt;0.05) there fore we conclude that  fail to reject null hypothesis and we conclude that there is not a significant difference between the means</t>
  </si>
  <si>
    <t>Q14</t>
  </si>
  <si>
    <t>x</t>
  </si>
  <si>
    <t>C.I.</t>
  </si>
  <si>
    <t>proportion</t>
  </si>
  <si>
    <t>Z-VALUE-90% confidence level</t>
  </si>
  <si>
    <t>LOWE LIMIT</t>
  </si>
  <si>
    <t>UPPER LIMIT</t>
  </si>
  <si>
    <t>q15</t>
  </si>
  <si>
    <t xml:space="preserve">LAMBDA </t>
  </si>
  <si>
    <t>X</t>
  </si>
  <si>
    <t>P.D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</si>
</sst>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0" fillId="0" borderId="2" xfId="0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Sheet1!$B$109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F-4D51-BA52-56EFED7D87A7}"/>
            </c:ext>
          </c:extLst>
        </c:ser>
        <c:ser>
          <c:idx val="1"/>
          <c:order val="1"/>
          <c:tx>
            <c:strRef>
              <c:f>Sheet1!$A$110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Sheet1!$B$110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F-4D51-BA52-56EFED7D87A7}"/>
            </c:ext>
          </c:extLst>
        </c:ser>
        <c:ser>
          <c:idx val="2"/>
          <c:order val="2"/>
          <c:tx>
            <c:strRef>
              <c:f>Sheet1!$A$111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4F-4D51-BA52-56EFED7D87A7}"/>
            </c:ext>
          </c:extLst>
        </c:ser>
        <c:ser>
          <c:idx val="3"/>
          <c:order val="3"/>
          <c:tx>
            <c:strRef>
              <c:f>Sheet1!$A$112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4F-4D51-BA52-56EFED7D87A7}"/>
            </c:ext>
          </c:extLst>
        </c:ser>
        <c:ser>
          <c:idx val="4"/>
          <c:order val="4"/>
          <c:tx>
            <c:strRef>
              <c:f>Sheet1!$A$113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Sheet1!$B$113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4F-4D51-BA52-56EFED7D87A7}"/>
            </c:ext>
          </c:extLst>
        </c:ser>
        <c:ser>
          <c:idx val="5"/>
          <c:order val="5"/>
          <c:tx>
            <c:strRef>
              <c:f>Sheet1!$A$114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4F-4D51-BA52-56EFED7D87A7}"/>
            </c:ext>
          </c:extLst>
        </c:ser>
        <c:ser>
          <c:idx val="6"/>
          <c:order val="6"/>
          <c:tx>
            <c:strRef>
              <c:f>Sheet1!$A$115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Sheet1!$B$108</c:f>
              <c:strCache>
                <c:ptCount val="1"/>
                <c:pt idx="0">
                  <c:v>Frequency</c:v>
                </c:pt>
              </c:strCache>
            </c:strRef>
          </c:cat>
          <c:val>
            <c:numRef>
              <c:f>Sheet1!$B$115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4F-4D51-BA52-56EFED7D8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49536"/>
        <c:axId val="204243776"/>
      </c:barChart>
      <c:catAx>
        <c:axId val="2042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3776"/>
        <c:crosses val="autoZero"/>
        <c:auto val="1"/>
        <c:lblAlgn val="ctr"/>
        <c:lblOffset val="100"/>
        <c:noMultiLvlLbl val="0"/>
      </c:catAx>
      <c:valAx>
        <c:axId val="2042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637DB504-F98A-4C7F-B7DD-1C42E8925410}">
          <cx:tx>
            <cx:txData>
              <cx:f>_xlchart.v1.1</cx:f>
              <cx:v>Frequency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1312312-D9AA-4336-9E72-C8525452E47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218282</xdr:colOff>
      <xdr:row>106</xdr:row>
      <xdr:rowOff>125678</xdr:rowOff>
    </xdr:from>
    <xdr:to>
      <xdr:col>7</xdr:col>
      <xdr:colOff>430610</xdr:colOff>
      <xdr:row>116</xdr:row>
      <xdr:rowOff>65220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3C890-75EE-CE4C-7B3B-C10415BEB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578674</xdr:colOff>
      <xdr:row>106</xdr:row>
      <xdr:rowOff>140634</xdr:rowOff>
    </xdr:from>
    <xdr:to>
      <xdr:col>13</xdr:col>
      <xdr:colOff>253017</xdr:colOff>
      <xdr:row>116</xdr:row>
      <xdr:rowOff>80177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9B2352B-69B6-0252-1BE8-92117B0EA1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7124" y="19660534"/>
              <a:ext cx="3331943" cy="17810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F465-7A55-4679-BCBA-94CF322D8E06}">
  <dimension ref="A1:CV340"/>
  <sheetViews>
    <sheetView tabSelected="1" topLeftCell="A332" zoomScale="117" zoomScaleNormal="99" workbookViewId="0">
      <selection activeCell="B341" sqref="B341"/>
    </sheetView>
  </sheetViews>
  <sheetFormatPr defaultRowHeight="14.5"/>
  <cols>
    <col min="1" max="1" width="11.90625" bestFit="1" customWidth="1"/>
    <col min="2" max="2" width="21.453125" customWidth="1"/>
    <col min="4" max="4" width="12.81640625" customWidth="1"/>
  </cols>
  <sheetData>
    <row r="1" spans="1:3">
      <c r="A1" t="s">
        <v>0</v>
      </c>
    </row>
    <row r="2" spans="1:3">
      <c r="A2">
        <v>3</v>
      </c>
    </row>
    <row r="3" spans="1:3">
      <c r="A3">
        <v>2</v>
      </c>
      <c r="B3">
        <f>AVERAGE(A2:A51)</f>
        <v>3.44</v>
      </c>
      <c r="C3" t="s">
        <v>1</v>
      </c>
    </row>
    <row r="4" spans="1:3">
      <c r="A4">
        <v>5</v>
      </c>
      <c r="B4">
        <f>MEDIAN(A2:A51)</f>
        <v>3</v>
      </c>
      <c r="C4" t="s">
        <v>2</v>
      </c>
    </row>
    <row r="5" spans="1:3">
      <c r="A5">
        <v>4</v>
      </c>
      <c r="B5">
        <f>MODE(A2:A51)</f>
        <v>2</v>
      </c>
      <c r="C5" t="s">
        <v>3</v>
      </c>
    </row>
    <row r="6" spans="1:3">
      <c r="A6">
        <v>7</v>
      </c>
    </row>
    <row r="7" spans="1:3">
      <c r="A7">
        <v>2</v>
      </c>
    </row>
    <row r="8" spans="1:3">
      <c r="A8">
        <v>3</v>
      </c>
    </row>
    <row r="9" spans="1:3">
      <c r="A9">
        <v>3</v>
      </c>
    </row>
    <row r="10" spans="1:3">
      <c r="A10">
        <v>1</v>
      </c>
    </row>
    <row r="11" spans="1:3">
      <c r="A11">
        <v>6</v>
      </c>
    </row>
    <row r="12" spans="1:3">
      <c r="A12">
        <v>4</v>
      </c>
    </row>
    <row r="13" spans="1:3">
      <c r="A13">
        <v>2</v>
      </c>
    </row>
    <row r="14" spans="1:3">
      <c r="A14">
        <v>3</v>
      </c>
    </row>
    <row r="15" spans="1:3">
      <c r="A15">
        <v>5</v>
      </c>
    </row>
    <row r="16" spans="1:3">
      <c r="A16">
        <v>2</v>
      </c>
    </row>
    <row r="17" spans="1:19">
      <c r="A17">
        <v>4</v>
      </c>
    </row>
    <row r="18" spans="1:19">
      <c r="A18">
        <v>2</v>
      </c>
    </row>
    <row r="19" spans="1:19">
      <c r="A19">
        <v>1</v>
      </c>
    </row>
    <row r="20" spans="1:19">
      <c r="A20">
        <v>3</v>
      </c>
    </row>
    <row r="21" spans="1:19" ht="15" thickBot="1">
      <c r="A21">
        <v>5</v>
      </c>
    </row>
    <row r="22" spans="1:19">
      <c r="A22">
        <v>6</v>
      </c>
      <c r="Q22" s="8"/>
      <c r="R22" s="8"/>
      <c r="S22" s="8"/>
    </row>
    <row r="23" spans="1:19">
      <c r="A23">
        <v>3</v>
      </c>
      <c r="Q23" s="6"/>
      <c r="R23" s="6"/>
      <c r="S23" s="6"/>
    </row>
    <row r="24" spans="1:19">
      <c r="A24">
        <v>2</v>
      </c>
      <c r="Q24" s="6"/>
      <c r="R24" s="6"/>
      <c r="S24" s="6"/>
    </row>
    <row r="25" spans="1:19">
      <c r="A25">
        <v>1</v>
      </c>
      <c r="Q25" s="6"/>
      <c r="R25" s="6"/>
      <c r="S25" s="6"/>
    </row>
    <row r="26" spans="1:19">
      <c r="A26">
        <v>4</v>
      </c>
      <c r="Q26" s="6"/>
      <c r="R26" s="6"/>
      <c r="S26" s="6"/>
    </row>
    <row r="27" spans="1:19">
      <c r="A27">
        <v>2</v>
      </c>
      <c r="Q27" s="6"/>
      <c r="R27" s="6"/>
      <c r="S27" s="6"/>
    </row>
    <row r="28" spans="1:19">
      <c r="A28">
        <v>4</v>
      </c>
      <c r="Q28" s="6"/>
      <c r="R28" s="6"/>
      <c r="S28" s="6"/>
    </row>
    <row r="29" spans="1:19">
      <c r="A29">
        <v>5</v>
      </c>
      <c r="Q29" s="6"/>
      <c r="R29" s="6"/>
      <c r="S29" s="6"/>
    </row>
    <row r="30" spans="1:19">
      <c r="A30">
        <v>3</v>
      </c>
      <c r="Q30" s="6"/>
      <c r="R30" s="6"/>
      <c r="S30" s="6"/>
    </row>
    <row r="31" spans="1:19">
      <c r="A31">
        <v>2</v>
      </c>
      <c r="Q31" s="6"/>
      <c r="R31" s="6"/>
      <c r="S31" s="6"/>
    </row>
    <row r="32" spans="1:19">
      <c r="A32">
        <v>7</v>
      </c>
      <c r="Q32" s="6"/>
      <c r="R32" s="6"/>
      <c r="S32" s="6"/>
    </row>
    <row r="33" spans="1:19" ht="15" thickBot="1">
      <c r="A33">
        <v>2</v>
      </c>
      <c r="Q33" s="7"/>
      <c r="R33" s="7"/>
      <c r="S33" s="7"/>
    </row>
    <row r="34" spans="1:19">
      <c r="A34">
        <v>3</v>
      </c>
    </row>
    <row r="35" spans="1:19">
      <c r="A35">
        <v>4</v>
      </c>
    </row>
    <row r="36" spans="1:19">
      <c r="A36">
        <v>5</v>
      </c>
    </row>
    <row r="37" spans="1:19">
      <c r="A37">
        <v>1</v>
      </c>
    </row>
    <row r="38" spans="1:19">
      <c r="A38">
        <v>6</v>
      </c>
    </row>
    <row r="39" spans="1:19">
      <c r="A39">
        <v>2</v>
      </c>
    </row>
    <row r="40" spans="1:19">
      <c r="A40">
        <v>4</v>
      </c>
    </row>
    <row r="41" spans="1:19">
      <c r="A41">
        <v>3</v>
      </c>
    </row>
    <row r="42" spans="1:19">
      <c r="A42">
        <v>5</v>
      </c>
    </row>
    <row r="43" spans="1:19">
      <c r="A43">
        <v>3</v>
      </c>
    </row>
    <row r="44" spans="1:19">
      <c r="A44">
        <v>2</v>
      </c>
    </row>
    <row r="45" spans="1:19">
      <c r="A45">
        <v>4</v>
      </c>
    </row>
    <row r="46" spans="1:19">
      <c r="A46">
        <v>2</v>
      </c>
    </row>
    <row r="47" spans="1:19">
      <c r="A47">
        <v>6</v>
      </c>
    </row>
    <row r="48" spans="1:19">
      <c r="A48">
        <v>2</v>
      </c>
    </row>
    <row r="49" spans="1:5">
      <c r="A49">
        <v>3</v>
      </c>
    </row>
    <row r="50" spans="1:5">
      <c r="A50">
        <v>4</v>
      </c>
    </row>
    <row r="51" spans="1:5">
      <c r="A51">
        <v>5</v>
      </c>
    </row>
    <row r="53" spans="1:5">
      <c r="A53" t="s">
        <v>4</v>
      </c>
    </row>
    <row r="54" spans="1:5">
      <c r="A54" t="s">
        <v>5</v>
      </c>
      <c r="B54" t="s">
        <v>6</v>
      </c>
      <c r="C54" t="s">
        <v>7</v>
      </c>
      <c r="D54" t="s">
        <v>8</v>
      </c>
      <c r="E54" t="s">
        <v>9</v>
      </c>
    </row>
    <row r="55" spans="1:5">
      <c r="A55">
        <v>3</v>
      </c>
      <c r="B55">
        <v>7</v>
      </c>
      <c r="C55">
        <v>3</v>
      </c>
      <c r="D55">
        <v>2</v>
      </c>
      <c r="E55">
        <v>3</v>
      </c>
    </row>
    <row r="56" spans="1:5">
      <c r="A56">
        <v>5</v>
      </c>
      <c r="B56">
        <v>2</v>
      </c>
      <c r="C56">
        <v>2</v>
      </c>
      <c r="D56">
        <v>3</v>
      </c>
      <c r="E56">
        <v>2</v>
      </c>
    </row>
    <row r="57" spans="1:5">
      <c r="A57">
        <v>2</v>
      </c>
      <c r="B57">
        <v>3</v>
      </c>
      <c r="C57">
        <v>1</v>
      </c>
      <c r="D57">
        <v>4</v>
      </c>
      <c r="E57">
        <v>4</v>
      </c>
    </row>
    <row r="58" spans="1:5">
      <c r="A58">
        <v>4</v>
      </c>
      <c r="B58">
        <v>4</v>
      </c>
      <c r="C58">
        <v>4</v>
      </c>
      <c r="D58">
        <v>5</v>
      </c>
      <c r="E58">
        <v>2</v>
      </c>
    </row>
    <row r="59" spans="1:5">
      <c r="A59">
        <v>6</v>
      </c>
      <c r="B59">
        <v>2</v>
      </c>
      <c r="C59">
        <v>2</v>
      </c>
      <c r="D59">
        <v>1</v>
      </c>
      <c r="E59">
        <v>6</v>
      </c>
    </row>
    <row r="60" spans="1:5">
      <c r="A60">
        <v>2</v>
      </c>
      <c r="B60">
        <v>4</v>
      </c>
      <c r="C60">
        <v>4</v>
      </c>
      <c r="D60">
        <v>6</v>
      </c>
      <c r="E60">
        <v>3</v>
      </c>
    </row>
    <row r="61" spans="1:5">
      <c r="A61">
        <v>3</v>
      </c>
      <c r="B61">
        <v>2</v>
      </c>
      <c r="C61">
        <v>5</v>
      </c>
      <c r="D61">
        <v>2</v>
      </c>
      <c r="E61">
        <v>2</v>
      </c>
    </row>
    <row r="62" spans="1:5">
      <c r="A62">
        <v>4</v>
      </c>
      <c r="B62">
        <v>3</v>
      </c>
      <c r="C62">
        <v>3</v>
      </c>
      <c r="D62">
        <v>4</v>
      </c>
      <c r="E62">
        <v>4</v>
      </c>
    </row>
    <row r="63" spans="1:5">
      <c r="A63">
        <v>2</v>
      </c>
      <c r="B63">
        <v>5</v>
      </c>
      <c r="C63">
        <v>2</v>
      </c>
      <c r="D63">
        <v>3</v>
      </c>
      <c r="E63">
        <v>5</v>
      </c>
    </row>
    <row r="64" spans="1:5">
      <c r="A64">
        <v>5</v>
      </c>
      <c r="B64">
        <v>6</v>
      </c>
      <c r="C64">
        <v>7</v>
      </c>
      <c r="D64">
        <v>5</v>
      </c>
      <c r="E64">
        <v>3</v>
      </c>
    </row>
    <row r="66" spans="1:2">
      <c r="A66">
        <f>MAX(A55:E64)</f>
        <v>7</v>
      </c>
      <c r="B66" t="s">
        <v>10</v>
      </c>
    </row>
    <row r="67" spans="1:2">
      <c r="A67">
        <f>_xlfn.VAR.S(A55:E64)</f>
        <v>2.3363265306122454</v>
      </c>
      <c r="B67" t="s">
        <v>11</v>
      </c>
    </row>
    <row r="68" spans="1:2">
      <c r="A68">
        <f xml:space="preserve"> STDEV(A55:E64)</f>
        <v>1.5285046714394579</v>
      </c>
      <c r="B68" t="s">
        <v>12</v>
      </c>
    </row>
    <row r="71" spans="1:2">
      <c r="A71" t="s">
        <v>13</v>
      </c>
    </row>
    <row r="72" spans="1:2">
      <c r="A72">
        <v>120</v>
      </c>
    </row>
    <row r="73" spans="1:2">
      <c r="A73">
        <v>150</v>
      </c>
    </row>
    <row r="74" spans="1:2">
      <c r="A74">
        <v>110</v>
      </c>
    </row>
    <row r="75" spans="1:2">
      <c r="A75">
        <v>135</v>
      </c>
    </row>
    <row r="76" spans="1:2">
      <c r="A76">
        <v>125</v>
      </c>
    </row>
    <row r="77" spans="1:2">
      <c r="A77">
        <v>140</v>
      </c>
    </row>
    <row r="78" spans="1:2">
      <c r="A78">
        <v>130</v>
      </c>
    </row>
    <row r="79" spans="1:2">
      <c r="A79">
        <v>155</v>
      </c>
    </row>
    <row r="80" spans="1:2">
      <c r="A80">
        <v>115</v>
      </c>
    </row>
    <row r="81" spans="1:5">
      <c r="A81">
        <v>145</v>
      </c>
    </row>
    <row r="82" spans="1:5">
      <c r="A82">
        <v>135</v>
      </c>
    </row>
    <row r="83" spans="1:5">
      <c r="A83">
        <v>130</v>
      </c>
    </row>
    <row r="85" spans="1:5">
      <c r="A85">
        <f>AVERAGE(A72:A83)</f>
        <v>132.5</v>
      </c>
      <c r="B85" t="s">
        <v>14</v>
      </c>
    </row>
    <row r="86" spans="1:5">
      <c r="A86">
        <f>MAX(A72:A83)-MIN(A72:A83)</f>
        <v>45</v>
      </c>
      <c r="B86" t="s">
        <v>15</v>
      </c>
    </row>
    <row r="88" spans="1:5">
      <c r="A88" t="s">
        <v>16</v>
      </c>
    </row>
    <row r="89" spans="1:5">
      <c r="A89" t="s">
        <v>17</v>
      </c>
      <c r="B89" t="s">
        <v>18</v>
      </c>
      <c r="C89" t="s">
        <v>19</v>
      </c>
      <c r="D89" t="s">
        <v>20</v>
      </c>
      <c r="E89" t="s">
        <v>21</v>
      </c>
    </row>
    <row r="90" spans="1:5">
      <c r="A90">
        <v>30</v>
      </c>
      <c r="B90">
        <v>25</v>
      </c>
      <c r="C90">
        <v>22</v>
      </c>
      <c r="D90">
        <v>18</v>
      </c>
      <c r="E90">
        <v>35</v>
      </c>
    </row>
    <row r="91" spans="1:5">
      <c r="A91">
        <v>32</v>
      </c>
      <c r="B91">
        <v>27</v>
      </c>
      <c r="C91">
        <v>23</v>
      </c>
      <c r="D91">
        <v>17</v>
      </c>
      <c r="E91">
        <v>36</v>
      </c>
    </row>
    <row r="92" spans="1:5">
      <c r="A92">
        <v>33</v>
      </c>
      <c r="B92">
        <v>26</v>
      </c>
      <c r="C92">
        <v>20</v>
      </c>
      <c r="D92">
        <v>19</v>
      </c>
      <c r="E92">
        <v>34</v>
      </c>
    </row>
    <row r="93" spans="1:5">
      <c r="A93">
        <v>28</v>
      </c>
      <c r="B93">
        <v>23</v>
      </c>
      <c r="C93">
        <v>25</v>
      </c>
      <c r="D93">
        <v>20</v>
      </c>
      <c r="E93">
        <v>35</v>
      </c>
    </row>
    <row r="94" spans="1:5">
      <c r="A94">
        <v>31</v>
      </c>
      <c r="B94">
        <v>28</v>
      </c>
      <c r="C94">
        <v>21</v>
      </c>
      <c r="D94">
        <v>21</v>
      </c>
      <c r="E94">
        <v>33</v>
      </c>
    </row>
    <row r="95" spans="1:5">
      <c r="A95">
        <v>30</v>
      </c>
      <c r="B95">
        <v>24</v>
      </c>
      <c r="C95">
        <v>24</v>
      </c>
      <c r="D95">
        <v>18</v>
      </c>
      <c r="E95">
        <v>34</v>
      </c>
    </row>
    <row r="96" spans="1:5">
      <c r="A96">
        <v>29</v>
      </c>
      <c r="B96">
        <v>26</v>
      </c>
      <c r="C96">
        <v>23</v>
      </c>
      <c r="D96">
        <v>19</v>
      </c>
      <c r="E96">
        <v>32</v>
      </c>
    </row>
    <row r="97" spans="1:5">
      <c r="A97">
        <v>30</v>
      </c>
      <c r="B97">
        <v>25</v>
      </c>
      <c r="C97">
        <v>22</v>
      </c>
      <c r="D97">
        <v>17</v>
      </c>
      <c r="E97">
        <v>33</v>
      </c>
    </row>
    <row r="98" spans="1:5">
      <c r="A98">
        <v>32</v>
      </c>
      <c r="B98">
        <v>27</v>
      </c>
      <c r="C98">
        <v>25</v>
      </c>
      <c r="D98">
        <v>20</v>
      </c>
      <c r="E98">
        <v>36</v>
      </c>
    </row>
    <row r="99" spans="1:5">
      <c r="A99">
        <v>31</v>
      </c>
      <c r="B99">
        <v>28</v>
      </c>
      <c r="C99">
        <v>24</v>
      </c>
      <c r="D99">
        <v>19</v>
      </c>
      <c r="E99">
        <v>34</v>
      </c>
    </row>
    <row r="100" spans="1:5">
      <c r="A100" t="s">
        <v>22</v>
      </c>
    </row>
    <row r="101" spans="1:5">
      <c r="A101">
        <f>AVERAGE(A90:A99)</f>
        <v>30.6</v>
      </c>
      <c r="B101">
        <f t="shared" ref="B101:E101" si="0">AVERAGE(B90:B99)</f>
        <v>25.9</v>
      </c>
      <c r="C101">
        <f t="shared" si="0"/>
        <v>22.9</v>
      </c>
      <c r="D101">
        <f>AVERAGE(D90:D99)</f>
        <v>18.8</v>
      </c>
      <c r="E101">
        <f t="shared" si="0"/>
        <v>34.200000000000003</v>
      </c>
    </row>
    <row r="102" spans="1:5">
      <c r="A102" t="s">
        <v>23</v>
      </c>
    </row>
    <row r="103" spans="1:5">
      <c r="A103">
        <f>MAX(A90:A99)-MIN(A90:A99)</f>
        <v>5</v>
      </c>
      <c r="B103">
        <f t="shared" ref="B103:E103" si="1">MAX(B90:B99)-MIN(B90:B99)</f>
        <v>5</v>
      </c>
      <c r="C103">
        <f t="shared" si="1"/>
        <v>5</v>
      </c>
      <c r="D103">
        <f t="shared" si="1"/>
        <v>4</v>
      </c>
      <c r="E103">
        <f t="shared" si="1"/>
        <v>4</v>
      </c>
    </row>
    <row r="104" spans="1:5">
      <c r="A104" t="s">
        <v>24</v>
      </c>
    </row>
    <row r="105" spans="1:5">
      <c r="A105">
        <f>_xlfn.VAR.S(A90:A99)</f>
        <v>2.2666666666666675</v>
      </c>
      <c r="B105">
        <f t="shared" ref="B105:E105" si="2">_xlfn.VAR.S(B90:B99)</f>
        <v>2.7666666666666675</v>
      </c>
      <c r="C105">
        <f t="shared" si="2"/>
        <v>2.7666666666666675</v>
      </c>
      <c r="D105">
        <f t="shared" si="2"/>
        <v>1.7333333333333332</v>
      </c>
      <c r="E105">
        <f t="shared" si="2"/>
        <v>1.7333333333333332</v>
      </c>
    </row>
    <row r="107" spans="1:5">
      <c r="A107" t="s">
        <v>25</v>
      </c>
    </row>
    <row r="108" spans="1:5">
      <c r="A108" t="s">
        <v>28</v>
      </c>
      <c r="B108" t="s">
        <v>29</v>
      </c>
    </row>
    <row r="109" spans="1:5">
      <c r="A109" t="s">
        <v>17</v>
      </c>
      <c r="B109">
        <v>30</v>
      </c>
    </row>
    <row r="110" spans="1:5">
      <c r="A110" t="s">
        <v>18</v>
      </c>
      <c r="B110">
        <v>40</v>
      </c>
    </row>
    <row r="111" spans="1:5">
      <c r="A111" t="s">
        <v>19</v>
      </c>
      <c r="B111">
        <v>20</v>
      </c>
    </row>
    <row r="112" spans="1:5">
      <c r="A112" t="s">
        <v>20</v>
      </c>
      <c r="B112">
        <v>10</v>
      </c>
    </row>
    <row r="113" spans="1:5">
      <c r="A113" t="s">
        <v>21</v>
      </c>
      <c r="B113">
        <v>45</v>
      </c>
    </row>
    <row r="114" spans="1:5">
      <c r="A114" t="s">
        <v>26</v>
      </c>
      <c r="B114">
        <v>25</v>
      </c>
    </row>
    <row r="115" spans="1:5">
      <c r="A115" t="s">
        <v>27</v>
      </c>
      <c r="B115">
        <v>30</v>
      </c>
    </row>
    <row r="118" spans="1:5">
      <c r="A118" t="s">
        <v>30</v>
      </c>
    </row>
    <row r="120" spans="1:5" ht="15" thickBot="1">
      <c r="A120" t="s">
        <v>31</v>
      </c>
    </row>
    <row r="121" spans="1:5" ht="15" thickBot="1">
      <c r="A121" s="1" t="s">
        <v>32</v>
      </c>
    </row>
    <row r="122" spans="1:5" ht="15" thickBot="1">
      <c r="A122" s="2">
        <v>4</v>
      </c>
    </row>
    <row r="123" spans="1:5" ht="15" thickBot="1">
      <c r="A123" s="2">
        <v>5</v>
      </c>
    </row>
    <row r="124" spans="1:5" ht="15" thickBot="1">
      <c r="A124" s="2">
        <v>3</v>
      </c>
      <c r="B124" t="s">
        <v>33</v>
      </c>
      <c r="C124">
        <f>SKEW(A122:A221)</f>
        <v>-0.21090973977304461</v>
      </c>
      <c r="E124" t="s">
        <v>35</v>
      </c>
    </row>
    <row r="125" spans="1:5" ht="15" thickBot="1">
      <c r="A125" s="2">
        <v>4</v>
      </c>
      <c r="B125" t="s">
        <v>34</v>
      </c>
      <c r="C125">
        <f>KURT(A122:A221)</f>
        <v>-0.74525627211662515</v>
      </c>
      <c r="E125" t="s">
        <v>36</v>
      </c>
    </row>
    <row r="126" spans="1:5" ht="15" thickBot="1">
      <c r="A126" s="2">
        <v>4</v>
      </c>
    </row>
    <row r="127" spans="1:5" ht="15" thickBot="1">
      <c r="A127" s="2">
        <v>3</v>
      </c>
    </row>
    <row r="128" spans="1:5" ht="15" thickBot="1">
      <c r="A128" s="2">
        <v>2</v>
      </c>
    </row>
    <row r="129" spans="1:1" ht="15" thickBot="1">
      <c r="A129" s="2">
        <v>5</v>
      </c>
    </row>
    <row r="130" spans="1:1" ht="15" thickBot="1">
      <c r="A130" s="2">
        <v>4</v>
      </c>
    </row>
    <row r="131" spans="1:1" ht="15" thickBot="1">
      <c r="A131" s="2">
        <v>3</v>
      </c>
    </row>
    <row r="132" spans="1:1" ht="15" thickBot="1">
      <c r="A132" s="2">
        <v>5</v>
      </c>
    </row>
    <row r="133" spans="1:1" ht="15" thickBot="1">
      <c r="A133" s="2">
        <v>4</v>
      </c>
    </row>
    <row r="134" spans="1:1" ht="15" thickBot="1">
      <c r="A134" s="2">
        <v>2</v>
      </c>
    </row>
    <row r="135" spans="1:1" ht="15" thickBot="1">
      <c r="A135" s="2">
        <v>3</v>
      </c>
    </row>
    <row r="136" spans="1:1" ht="15" thickBot="1">
      <c r="A136" s="2">
        <v>4</v>
      </c>
    </row>
    <row r="137" spans="1:1" ht="15" thickBot="1">
      <c r="A137" s="2">
        <v>5</v>
      </c>
    </row>
    <row r="138" spans="1:1" ht="15" thickBot="1">
      <c r="A138" s="2">
        <v>3</v>
      </c>
    </row>
    <row r="139" spans="1:1" ht="15" thickBot="1">
      <c r="A139" s="2">
        <v>4</v>
      </c>
    </row>
    <row r="140" spans="1:1" ht="15" thickBot="1">
      <c r="A140" s="2">
        <v>5</v>
      </c>
    </row>
    <row r="141" spans="1:1" ht="15" thickBot="1">
      <c r="A141" s="2">
        <v>3</v>
      </c>
    </row>
    <row r="142" spans="1:1" ht="15" thickBot="1">
      <c r="A142" s="2">
        <v>4</v>
      </c>
    </row>
    <row r="143" spans="1:1" ht="15" thickBot="1">
      <c r="A143" s="2">
        <v>3</v>
      </c>
    </row>
    <row r="144" spans="1:1" ht="15" thickBot="1">
      <c r="A144" s="2">
        <v>2</v>
      </c>
    </row>
    <row r="145" spans="1:1" ht="15" thickBot="1">
      <c r="A145" s="2">
        <v>4</v>
      </c>
    </row>
    <row r="146" spans="1:1" ht="15" thickBot="1">
      <c r="A146" s="2">
        <v>5</v>
      </c>
    </row>
    <row r="147" spans="1:1" ht="15" thickBot="1">
      <c r="A147" s="2">
        <v>3</v>
      </c>
    </row>
    <row r="148" spans="1:1" ht="15" thickBot="1">
      <c r="A148" s="2">
        <v>4</v>
      </c>
    </row>
    <row r="149" spans="1:1" ht="15" thickBot="1">
      <c r="A149" s="2">
        <v>5</v>
      </c>
    </row>
    <row r="150" spans="1:1" ht="15" thickBot="1">
      <c r="A150" s="2">
        <v>4</v>
      </c>
    </row>
    <row r="151" spans="1:1" ht="15" thickBot="1">
      <c r="A151" s="2">
        <v>3</v>
      </c>
    </row>
    <row r="152" spans="1:1" ht="15" thickBot="1">
      <c r="A152" s="2">
        <v>3</v>
      </c>
    </row>
    <row r="153" spans="1:1" ht="15" thickBot="1">
      <c r="A153" s="2">
        <v>4</v>
      </c>
    </row>
    <row r="154" spans="1:1" ht="15" thickBot="1">
      <c r="A154" s="2">
        <v>5</v>
      </c>
    </row>
    <row r="155" spans="1:1" ht="15" thickBot="1">
      <c r="A155" s="2">
        <v>2</v>
      </c>
    </row>
    <row r="156" spans="1:1" ht="15" thickBot="1">
      <c r="A156" s="2">
        <v>3</v>
      </c>
    </row>
    <row r="157" spans="1:1" ht="15" thickBot="1">
      <c r="A157" s="2">
        <v>4</v>
      </c>
    </row>
    <row r="158" spans="1:1" ht="15" thickBot="1">
      <c r="A158" s="2">
        <v>4</v>
      </c>
    </row>
    <row r="159" spans="1:1" ht="15" thickBot="1">
      <c r="A159" s="2">
        <v>3</v>
      </c>
    </row>
    <row r="160" spans="1:1" ht="15" thickBot="1">
      <c r="A160" s="2">
        <v>5</v>
      </c>
    </row>
    <row r="161" spans="1:1" ht="15" thickBot="1">
      <c r="A161" s="2">
        <v>4</v>
      </c>
    </row>
    <row r="162" spans="1:1" ht="15" thickBot="1">
      <c r="A162" s="2">
        <v>3</v>
      </c>
    </row>
    <row r="163" spans="1:1" ht="15" thickBot="1">
      <c r="A163" s="2">
        <v>4</v>
      </c>
    </row>
    <row r="164" spans="1:1" ht="15" thickBot="1">
      <c r="A164" s="2">
        <v>5</v>
      </c>
    </row>
    <row r="165" spans="1:1" ht="15" thickBot="1">
      <c r="A165" s="2">
        <v>4</v>
      </c>
    </row>
    <row r="166" spans="1:1" ht="15" thickBot="1">
      <c r="A166" s="2">
        <v>2</v>
      </c>
    </row>
    <row r="167" spans="1:1" ht="15" thickBot="1">
      <c r="A167" s="2">
        <v>3</v>
      </c>
    </row>
    <row r="168" spans="1:1" ht="15" thickBot="1">
      <c r="A168" s="2">
        <v>4</v>
      </c>
    </row>
    <row r="169" spans="1:1" ht="15" thickBot="1">
      <c r="A169" s="2">
        <v>5</v>
      </c>
    </row>
    <row r="170" spans="1:1" ht="15" thickBot="1">
      <c r="A170" s="2">
        <v>3</v>
      </c>
    </row>
    <row r="171" spans="1:1" ht="15" thickBot="1">
      <c r="A171" s="2">
        <v>4</v>
      </c>
    </row>
    <row r="172" spans="1:1" ht="15" thickBot="1">
      <c r="A172" s="2">
        <v>5</v>
      </c>
    </row>
    <row r="173" spans="1:1" ht="15" thickBot="1">
      <c r="A173" s="2">
        <v>4</v>
      </c>
    </row>
    <row r="174" spans="1:1" ht="15" thickBot="1">
      <c r="A174" s="2">
        <v>3</v>
      </c>
    </row>
    <row r="175" spans="1:1" ht="15" thickBot="1">
      <c r="A175" s="2">
        <v>4</v>
      </c>
    </row>
    <row r="176" spans="1:1" ht="15" thickBot="1">
      <c r="A176" s="2">
        <v>5</v>
      </c>
    </row>
    <row r="177" spans="1:1" ht="15" thickBot="1">
      <c r="A177" s="2">
        <v>3</v>
      </c>
    </row>
    <row r="178" spans="1:1" ht="15" thickBot="1">
      <c r="A178" s="2">
        <v>4</v>
      </c>
    </row>
    <row r="179" spans="1:1" ht="15" thickBot="1">
      <c r="A179" s="2">
        <v>5</v>
      </c>
    </row>
    <row r="180" spans="1:1" ht="15" thickBot="1">
      <c r="A180" s="2">
        <v>4</v>
      </c>
    </row>
    <row r="181" spans="1:1" ht="15" thickBot="1">
      <c r="A181" s="2">
        <v>3</v>
      </c>
    </row>
    <row r="182" spans="1:1" ht="15" thickBot="1">
      <c r="A182" s="2">
        <v>3</v>
      </c>
    </row>
    <row r="183" spans="1:1" ht="15" thickBot="1">
      <c r="A183" s="2">
        <v>4</v>
      </c>
    </row>
    <row r="184" spans="1:1" ht="15" thickBot="1">
      <c r="A184" s="2">
        <v>5</v>
      </c>
    </row>
    <row r="185" spans="1:1" ht="15" thickBot="1">
      <c r="A185" s="2">
        <v>2</v>
      </c>
    </row>
    <row r="186" spans="1:1" ht="15" thickBot="1">
      <c r="A186" s="2">
        <v>3</v>
      </c>
    </row>
    <row r="187" spans="1:1" ht="15" thickBot="1">
      <c r="A187" s="2">
        <v>4</v>
      </c>
    </row>
    <row r="188" spans="1:1" ht="15" thickBot="1">
      <c r="A188" s="2">
        <v>4</v>
      </c>
    </row>
    <row r="189" spans="1:1" ht="15" thickBot="1">
      <c r="A189" s="2">
        <v>3</v>
      </c>
    </row>
    <row r="190" spans="1:1" ht="15" thickBot="1">
      <c r="A190" s="2">
        <v>5</v>
      </c>
    </row>
    <row r="191" spans="1:1" ht="15" thickBot="1">
      <c r="A191" s="2">
        <v>4</v>
      </c>
    </row>
    <row r="192" spans="1:1" ht="15" thickBot="1">
      <c r="A192" s="2">
        <v>3</v>
      </c>
    </row>
    <row r="193" spans="1:1" ht="15" thickBot="1">
      <c r="A193" s="2">
        <v>4</v>
      </c>
    </row>
    <row r="194" spans="1:1" ht="15" thickBot="1">
      <c r="A194" s="2">
        <v>5</v>
      </c>
    </row>
    <row r="195" spans="1:1" ht="15" thickBot="1">
      <c r="A195" s="2">
        <v>4</v>
      </c>
    </row>
    <row r="196" spans="1:1" ht="15" thickBot="1">
      <c r="A196" s="2">
        <v>2</v>
      </c>
    </row>
    <row r="197" spans="1:1" ht="15" thickBot="1">
      <c r="A197" s="2">
        <v>3</v>
      </c>
    </row>
    <row r="198" spans="1:1" ht="15" thickBot="1">
      <c r="A198" s="2">
        <v>4</v>
      </c>
    </row>
    <row r="199" spans="1:1" ht="15" thickBot="1">
      <c r="A199" s="2">
        <v>5</v>
      </c>
    </row>
    <row r="200" spans="1:1" ht="15" thickBot="1">
      <c r="A200" s="2">
        <v>3</v>
      </c>
    </row>
    <row r="201" spans="1:1" ht="15" thickBot="1">
      <c r="A201" s="2">
        <v>4</v>
      </c>
    </row>
    <row r="202" spans="1:1" ht="15" thickBot="1">
      <c r="A202" s="2">
        <v>5</v>
      </c>
    </row>
    <row r="203" spans="1:1" ht="15" thickBot="1">
      <c r="A203" s="2">
        <v>4</v>
      </c>
    </row>
    <row r="204" spans="1:1" ht="15" thickBot="1">
      <c r="A204" s="2">
        <v>3</v>
      </c>
    </row>
    <row r="205" spans="1:1" ht="15" thickBot="1">
      <c r="A205" s="2">
        <v>4</v>
      </c>
    </row>
    <row r="206" spans="1:1" ht="15" thickBot="1">
      <c r="A206" s="2">
        <v>5</v>
      </c>
    </row>
    <row r="207" spans="1:1" ht="15" thickBot="1">
      <c r="A207" s="2">
        <v>3</v>
      </c>
    </row>
    <row r="208" spans="1:1" ht="15" thickBot="1">
      <c r="A208" s="2">
        <v>4</v>
      </c>
    </row>
    <row r="209" spans="1:1" ht="15" thickBot="1">
      <c r="A209" s="2">
        <v>5</v>
      </c>
    </row>
    <row r="210" spans="1:1" ht="15" thickBot="1">
      <c r="A210" s="2">
        <v>4</v>
      </c>
    </row>
    <row r="211" spans="1:1" ht="15" thickBot="1">
      <c r="A211" s="2">
        <v>3</v>
      </c>
    </row>
    <row r="212" spans="1:1" ht="15" thickBot="1">
      <c r="A212" s="2">
        <v>3</v>
      </c>
    </row>
    <row r="213" spans="1:1" ht="15" thickBot="1">
      <c r="A213" s="2">
        <v>4</v>
      </c>
    </row>
    <row r="214" spans="1:1" ht="15" thickBot="1">
      <c r="A214" s="2">
        <v>5</v>
      </c>
    </row>
    <row r="215" spans="1:1" ht="15" thickBot="1">
      <c r="A215" s="2">
        <v>2</v>
      </c>
    </row>
    <row r="216" spans="1:1" ht="15" thickBot="1">
      <c r="A216" s="2">
        <v>3</v>
      </c>
    </row>
    <row r="217" spans="1:1" ht="15" thickBot="1">
      <c r="A217" s="2">
        <v>4</v>
      </c>
    </row>
    <row r="218" spans="1:1" ht="15" thickBot="1">
      <c r="A218" s="2">
        <v>4</v>
      </c>
    </row>
    <row r="219" spans="1:1" ht="15" thickBot="1">
      <c r="A219" s="2">
        <v>3</v>
      </c>
    </row>
    <row r="220" spans="1:1" ht="15" thickBot="1">
      <c r="A220" s="2">
        <v>5</v>
      </c>
    </row>
    <row r="221" spans="1:1" ht="15" thickBot="1">
      <c r="A221" s="2">
        <v>4</v>
      </c>
    </row>
    <row r="227" spans="1:100">
      <c r="A227" t="s">
        <v>37</v>
      </c>
    </row>
    <row r="228" spans="1:100">
      <c r="A228">
        <v>55</v>
      </c>
      <c r="B228">
        <v>60</v>
      </c>
      <c r="C228">
        <v>62</v>
      </c>
      <c r="D228">
        <v>65</v>
      </c>
      <c r="E228">
        <v>68</v>
      </c>
      <c r="F228">
        <v>70</v>
      </c>
      <c r="G228">
        <v>72</v>
      </c>
      <c r="H228">
        <v>75</v>
      </c>
      <c r="I228">
        <v>78</v>
      </c>
      <c r="J228">
        <v>80</v>
      </c>
      <c r="K228">
        <v>82</v>
      </c>
      <c r="L228">
        <v>85</v>
      </c>
      <c r="M228">
        <v>88</v>
      </c>
      <c r="N228">
        <v>90</v>
      </c>
      <c r="O228">
        <v>92</v>
      </c>
      <c r="P228">
        <v>95</v>
      </c>
      <c r="Q228">
        <v>100</v>
      </c>
      <c r="R228">
        <v>105</v>
      </c>
      <c r="S228">
        <v>110</v>
      </c>
      <c r="T228">
        <v>115</v>
      </c>
      <c r="U228">
        <v>120</v>
      </c>
      <c r="V228">
        <v>125</v>
      </c>
      <c r="W228">
        <v>130</v>
      </c>
      <c r="X228">
        <v>135</v>
      </c>
      <c r="Y228">
        <v>140</v>
      </c>
      <c r="Z228">
        <v>145</v>
      </c>
      <c r="AA228">
        <v>150</v>
      </c>
      <c r="AB228">
        <v>155</v>
      </c>
      <c r="AC228">
        <v>160</v>
      </c>
      <c r="AD228">
        <v>165</v>
      </c>
      <c r="AE228">
        <v>170</v>
      </c>
      <c r="AF228">
        <v>175</v>
      </c>
      <c r="AG228">
        <v>180</v>
      </c>
      <c r="AH228">
        <v>185</v>
      </c>
      <c r="AI228">
        <v>190</v>
      </c>
      <c r="AJ228">
        <v>195</v>
      </c>
      <c r="AK228">
        <v>200</v>
      </c>
      <c r="AL228">
        <v>205</v>
      </c>
      <c r="AM228">
        <v>210</v>
      </c>
      <c r="AN228">
        <v>215</v>
      </c>
      <c r="AO228">
        <v>220</v>
      </c>
      <c r="AP228">
        <v>225</v>
      </c>
      <c r="AQ228">
        <v>230</v>
      </c>
      <c r="AR228">
        <v>235</v>
      </c>
      <c r="AS228">
        <v>240</v>
      </c>
      <c r="AT228">
        <v>245</v>
      </c>
      <c r="AU228">
        <v>250</v>
      </c>
      <c r="AV228">
        <v>255</v>
      </c>
      <c r="AW228">
        <v>260</v>
      </c>
      <c r="AX228">
        <v>265</v>
      </c>
      <c r="AY228">
        <v>270</v>
      </c>
      <c r="AZ228">
        <v>275</v>
      </c>
      <c r="BA228">
        <v>280</v>
      </c>
      <c r="BB228">
        <v>285</v>
      </c>
      <c r="BC228">
        <v>290</v>
      </c>
      <c r="BD228">
        <v>295</v>
      </c>
      <c r="BE228">
        <v>300</v>
      </c>
      <c r="BF228">
        <v>305</v>
      </c>
      <c r="BG228">
        <v>310</v>
      </c>
      <c r="BH228">
        <v>315</v>
      </c>
      <c r="BI228">
        <v>320</v>
      </c>
      <c r="BJ228">
        <v>325</v>
      </c>
      <c r="BK228">
        <v>330</v>
      </c>
      <c r="BL228">
        <v>335</v>
      </c>
      <c r="BM228">
        <v>340</v>
      </c>
      <c r="BN228">
        <v>345</v>
      </c>
      <c r="BO228">
        <v>350</v>
      </c>
      <c r="BP228">
        <v>355</v>
      </c>
      <c r="BQ228">
        <v>360</v>
      </c>
      <c r="BR228">
        <v>365</v>
      </c>
      <c r="BS228">
        <v>370</v>
      </c>
      <c r="BT228">
        <v>375</v>
      </c>
      <c r="BU228">
        <v>380</v>
      </c>
      <c r="BV228">
        <v>385</v>
      </c>
      <c r="BW228">
        <v>390</v>
      </c>
      <c r="BX228">
        <v>395</v>
      </c>
      <c r="BY228">
        <v>400</v>
      </c>
      <c r="BZ228">
        <v>405</v>
      </c>
      <c r="CA228">
        <v>410</v>
      </c>
      <c r="CB228">
        <v>415</v>
      </c>
      <c r="CC228">
        <v>420</v>
      </c>
      <c r="CD228">
        <v>425</v>
      </c>
      <c r="CE228">
        <v>430</v>
      </c>
      <c r="CF228">
        <v>435</v>
      </c>
      <c r="CG228">
        <v>440</v>
      </c>
      <c r="CH228">
        <v>445</v>
      </c>
      <c r="CI228">
        <v>450</v>
      </c>
      <c r="CJ228">
        <v>455</v>
      </c>
      <c r="CK228">
        <v>460</v>
      </c>
      <c r="CL228">
        <v>465</v>
      </c>
      <c r="CM228">
        <v>470</v>
      </c>
      <c r="CN228">
        <v>475</v>
      </c>
      <c r="CO228">
        <v>480</v>
      </c>
      <c r="CP228">
        <v>485</v>
      </c>
      <c r="CQ228">
        <v>490</v>
      </c>
      <c r="CR228">
        <v>495</v>
      </c>
      <c r="CS228">
        <v>500</v>
      </c>
      <c r="CT228">
        <v>505</v>
      </c>
      <c r="CU228">
        <v>510</v>
      </c>
      <c r="CV228">
        <v>515</v>
      </c>
    </row>
    <row r="229" spans="1:100" ht="15" thickBot="1"/>
    <row r="230" spans="1:100" ht="15" thickBot="1">
      <c r="A230" s="1"/>
      <c r="B230" s="1"/>
    </row>
    <row r="231" spans="1:100" ht="28.5" thickBot="1">
      <c r="A231" s="1" t="s">
        <v>38</v>
      </c>
      <c r="B231" s="3">
        <f>_xlfn.PERCENTILE.INC(A228:CV228, 0.25)</f>
        <v>143.75</v>
      </c>
    </row>
    <row r="232" spans="1:100" ht="15" thickBot="1">
      <c r="A232" s="1" t="s">
        <v>39</v>
      </c>
      <c r="B232" s="3">
        <f>MEDIAN(A228:CV228)</f>
        <v>267.5</v>
      </c>
      <c r="D232" t="s">
        <v>44</v>
      </c>
    </row>
    <row r="233" spans="1:100" ht="28.5" thickBot="1">
      <c r="A233" s="1" t="s">
        <v>40</v>
      </c>
      <c r="B233" s="3">
        <f>_xlfn.PERCENTILE.INC(A228:CV228, 0.75)</f>
        <v>391.25</v>
      </c>
    </row>
    <row r="234" spans="1:100" ht="28.5" thickBot="1">
      <c r="A234" s="1" t="s">
        <v>41</v>
      </c>
      <c r="B234" s="3">
        <f>_xlfn.PERCENTILE.INC(A228:CV228, 0.15)</f>
        <v>94.55</v>
      </c>
    </row>
    <row r="235" spans="1:100" ht="28.5" thickBot="1">
      <c r="A235" s="1" t="s">
        <v>42</v>
      </c>
      <c r="B235" s="3">
        <f>_xlfn.PERCENTILE.INC(A228:CV228,0.85)</f>
        <v>440.74999999999994</v>
      </c>
    </row>
    <row r="238" spans="1:100">
      <c r="A238" s="4" t="s">
        <v>45</v>
      </c>
    </row>
    <row r="239" spans="1:100">
      <c r="A239" s="4" t="s">
        <v>46</v>
      </c>
      <c r="B239">
        <v>10</v>
      </c>
      <c r="C239">
        <v>12</v>
      </c>
      <c r="D239">
        <v>15</v>
      </c>
      <c r="E239">
        <v>18</v>
      </c>
      <c r="F239">
        <v>20</v>
      </c>
      <c r="G239">
        <v>22</v>
      </c>
      <c r="H239">
        <v>25</v>
      </c>
      <c r="I239">
        <v>28</v>
      </c>
      <c r="J239">
        <v>30</v>
      </c>
      <c r="K239">
        <v>32</v>
      </c>
      <c r="L239">
        <v>35</v>
      </c>
      <c r="M239">
        <v>38</v>
      </c>
      <c r="N239">
        <v>40</v>
      </c>
      <c r="O239">
        <v>42</v>
      </c>
      <c r="P239">
        <v>45</v>
      </c>
      <c r="Q239">
        <v>48</v>
      </c>
      <c r="R239">
        <v>50</v>
      </c>
      <c r="S239">
        <v>52</v>
      </c>
      <c r="T239">
        <v>55</v>
      </c>
      <c r="U239">
        <v>58</v>
      </c>
      <c r="V239">
        <v>60</v>
      </c>
      <c r="W239">
        <v>62</v>
      </c>
      <c r="X239">
        <v>65</v>
      </c>
      <c r="Y239">
        <v>68</v>
      </c>
      <c r="Z239">
        <v>70</v>
      </c>
      <c r="AA239">
        <v>72</v>
      </c>
      <c r="AB239">
        <v>75</v>
      </c>
      <c r="AC239">
        <v>78</v>
      </c>
      <c r="AD239">
        <v>80</v>
      </c>
      <c r="AE239">
        <v>82</v>
      </c>
    </row>
    <row r="240" spans="1:100">
      <c r="A240" s="4" t="s">
        <v>47</v>
      </c>
      <c r="B240">
        <v>60</v>
      </c>
      <c r="C240">
        <v>65</v>
      </c>
      <c r="D240">
        <v>70</v>
      </c>
      <c r="E240">
        <v>75</v>
      </c>
      <c r="F240">
        <v>80</v>
      </c>
      <c r="G240">
        <v>82</v>
      </c>
      <c r="H240">
        <v>85</v>
      </c>
      <c r="I240">
        <v>88</v>
      </c>
      <c r="J240">
        <v>90</v>
      </c>
      <c r="K240">
        <v>92</v>
      </c>
      <c r="L240">
        <v>93</v>
      </c>
      <c r="M240">
        <v>95</v>
      </c>
      <c r="N240">
        <v>96</v>
      </c>
      <c r="O240">
        <v>97</v>
      </c>
      <c r="P240">
        <v>98</v>
      </c>
      <c r="Q240">
        <v>99</v>
      </c>
      <c r="R240">
        <v>100</v>
      </c>
      <c r="S240">
        <v>102</v>
      </c>
      <c r="T240">
        <v>105</v>
      </c>
      <c r="U240">
        <v>106</v>
      </c>
      <c r="V240">
        <v>107</v>
      </c>
      <c r="W240">
        <v>108</v>
      </c>
      <c r="X240">
        <v>110</v>
      </c>
      <c r="Y240">
        <v>112</v>
      </c>
      <c r="Z240">
        <v>114</v>
      </c>
      <c r="AA240">
        <v>115</v>
      </c>
      <c r="AB240">
        <v>116</v>
      </c>
      <c r="AC240">
        <v>118</v>
      </c>
      <c r="AD240">
        <v>120</v>
      </c>
      <c r="AE240">
        <v>122</v>
      </c>
    </row>
    <row r="242" spans="1:2">
      <c r="A242">
        <f>CORREL(B239:AE239,B240:AE240)</f>
        <v>0.97729508301867352</v>
      </c>
    </row>
    <row r="243" spans="1:2" ht="28">
      <c r="A243" s="4" t="s">
        <v>43</v>
      </c>
      <c r="B243" t="s">
        <v>48</v>
      </c>
    </row>
    <row r="246" spans="1:2">
      <c r="A246" t="s">
        <v>49</v>
      </c>
    </row>
    <row r="247" spans="1:2">
      <c r="A247" t="s">
        <v>50</v>
      </c>
    </row>
    <row r="248" spans="1:2">
      <c r="A248" t="s">
        <v>51</v>
      </c>
      <c r="B248">
        <f>1 - _xlfn.BINOM.DIST(7, 10, 0.25, 1)</f>
        <v>4.15802001953125E-4</v>
      </c>
    </row>
    <row r="253" spans="1:2">
      <c r="A253" t="s">
        <v>52</v>
      </c>
    </row>
    <row r="254" spans="1:2">
      <c r="A254" t="s">
        <v>53</v>
      </c>
    </row>
    <row r="255" spans="1:2">
      <c r="A255" t="s">
        <v>54</v>
      </c>
    </row>
    <row r="256" spans="1:2">
      <c r="A256" t="s">
        <v>55</v>
      </c>
    </row>
    <row r="257" spans="1:2">
      <c r="A257" t="s">
        <v>56</v>
      </c>
    </row>
    <row r="259" spans="1:2">
      <c r="A259">
        <f>_xlfn.NORM.DIST(1100, 1000, 100,1) - _xlfn.NORM.DIST(900, 1000, 100, 1)</f>
        <v>0.68268949213708607</v>
      </c>
    </row>
    <row r="263" spans="1:2">
      <c r="A263" t="s">
        <v>57</v>
      </c>
    </row>
    <row r="264" spans="1:2">
      <c r="A264" t="s">
        <v>58</v>
      </c>
      <c r="B264">
        <v>100</v>
      </c>
    </row>
    <row r="265" spans="1:2">
      <c r="A265" t="s">
        <v>59</v>
      </c>
      <c r="B265">
        <v>170</v>
      </c>
    </row>
    <row r="266" spans="1:2">
      <c r="A266" t="s">
        <v>60</v>
      </c>
      <c r="B266">
        <v>8</v>
      </c>
    </row>
    <row r="267" spans="1:2">
      <c r="A267" t="s">
        <v>61</v>
      </c>
      <c r="B267">
        <v>0.05</v>
      </c>
    </row>
    <row r="269" spans="1:2">
      <c r="B269">
        <f>_xlfn.CONFIDENCE.T(0.05,8,100)</f>
        <v>1.5873735612691333</v>
      </c>
    </row>
    <row r="272" spans="1:2">
      <c r="A272" t="s">
        <v>62</v>
      </c>
    </row>
    <row r="273" spans="1:5">
      <c r="A273" t="s">
        <v>63</v>
      </c>
      <c r="B273">
        <v>500</v>
      </c>
      <c r="D273" t="s">
        <v>65</v>
      </c>
    </row>
    <row r="274" spans="1:5">
      <c r="A274" t="s">
        <v>58</v>
      </c>
      <c r="B274">
        <v>25</v>
      </c>
      <c r="D274" t="s">
        <v>66</v>
      </c>
    </row>
    <row r="275" spans="1:5">
      <c r="A275" t="s">
        <v>64</v>
      </c>
      <c r="B275">
        <v>510</v>
      </c>
    </row>
    <row r="276" spans="1:5">
      <c r="A276" t="s">
        <v>60</v>
      </c>
      <c r="B276">
        <v>20</v>
      </c>
    </row>
    <row r="277" spans="1:5">
      <c r="A277" t="s">
        <v>61</v>
      </c>
      <c r="B277">
        <v>0.05</v>
      </c>
    </row>
    <row r="279" spans="1:5">
      <c r="A279" t="s">
        <v>67</v>
      </c>
      <c r="B279">
        <f>(B275-B273)/(B276/SQRT(B274))</f>
        <v>2.5</v>
      </c>
    </row>
    <row r="280" spans="1:5">
      <c r="A280" t="s">
        <v>68</v>
      </c>
      <c r="B280">
        <f>B274-1</f>
        <v>24</v>
      </c>
    </row>
    <row r="281" spans="1:5">
      <c r="A281" t="s">
        <v>69</v>
      </c>
      <c r="B281">
        <f>_xlfn.T.INV.2T(B277,B280)</f>
        <v>2.0638985616280254</v>
      </c>
    </row>
    <row r="282" spans="1:5">
      <c r="A282" t="s">
        <v>72</v>
      </c>
      <c r="B282">
        <f>_xlfn.T.DIST.2T(2.5,24)</f>
        <v>1.965417511657875E-2</v>
      </c>
    </row>
    <row r="283" spans="1:5">
      <c r="A283" s="5" t="s">
        <v>70</v>
      </c>
      <c r="B283" s="5"/>
      <c r="C283" s="5" t="s">
        <v>71</v>
      </c>
    </row>
    <row r="284" spans="1:5">
      <c r="A284" s="5">
        <v>2.0640000000000001</v>
      </c>
      <c r="B284" s="5" t="s">
        <v>73</v>
      </c>
      <c r="C284" s="5">
        <v>2.5</v>
      </c>
      <c r="D284" t="s">
        <v>76</v>
      </c>
      <c r="E284" t="s">
        <v>75</v>
      </c>
    </row>
    <row r="285" spans="1:5">
      <c r="A285" s="5"/>
      <c r="B285" s="5"/>
      <c r="C285" s="5"/>
    </row>
    <row r="286" spans="1:5">
      <c r="A286" s="5" t="s">
        <v>72</v>
      </c>
      <c r="B286" s="5"/>
      <c r="C286" s="5" t="s">
        <v>61</v>
      </c>
    </row>
    <row r="287" spans="1:5">
      <c r="A287" s="5">
        <v>1.9699999999999999E-2</v>
      </c>
      <c r="B287" s="5" t="s">
        <v>73</v>
      </c>
      <c r="C287" s="5">
        <v>0.05</v>
      </c>
    </row>
    <row r="290" spans="1:6">
      <c r="A290" t="s">
        <v>77</v>
      </c>
    </row>
    <row r="291" spans="1:6">
      <c r="A291" t="s">
        <v>78</v>
      </c>
      <c r="B291" t="s">
        <v>79</v>
      </c>
    </row>
    <row r="292" spans="1:6">
      <c r="A292">
        <f ca="1">RANDBETWEEN(25,50)</f>
        <v>50</v>
      </c>
      <c r="B292">
        <f ca="1">RANDBETWEEN(25,50)</f>
        <v>48</v>
      </c>
    </row>
    <row r="293" spans="1:6">
      <c r="A293">
        <f ca="1">RANDBETWEEN(25,50)</f>
        <v>30</v>
      </c>
      <c r="B293">
        <f t="shared" ref="B293:B316" ca="1" si="3">RANDBETWEEN(25,50)</f>
        <v>33</v>
      </c>
      <c r="D293" t="s">
        <v>90</v>
      </c>
    </row>
    <row r="294" spans="1:6">
      <c r="A294">
        <f t="shared" ref="A293:A315" ca="1" si="4">RANDBETWEEN(25,50)</f>
        <v>33</v>
      </c>
      <c r="B294">
        <f t="shared" ca="1" si="3"/>
        <v>38</v>
      </c>
      <c r="D294" t="s">
        <v>91</v>
      </c>
    </row>
    <row r="295" spans="1:6">
      <c r="A295">
        <f t="shared" ca="1" si="4"/>
        <v>35</v>
      </c>
      <c r="B295">
        <f t="shared" ca="1" si="3"/>
        <v>40</v>
      </c>
    </row>
    <row r="296" spans="1:6">
      <c r="A296">
        <f t="shared" ca="1" si="4"/>
        <v>27</v>
      </c>
      <c r="B296">
        <f t="shared" ca="1" si="3"/>
        <v>41</v>
      </c>
    </row>
    <row r="297" spans="1:6">
      <c r="A297">
        <f t="shared" ca="1" si="4"/>
        <v>31</v>
      </c>
      <c r="B297">
        <f t="shared" ca="1" si="3"/>
        <v>49</v>
      </c>
    </row>
    <row r="298" spans="1:6">
      <c r="A298">
        <f t="shared" ca="1" si="4"/>
        <v>48</v>
      </c>
      <c r="B298">
        <f t="shared" ca="1" si="3"/>
        <v>38</v>
      </c>
    </row>
    <row r="299" spans="1:6">
      <c r="A299">
        <f t="shared" ca="1" si="4"/>
        <v>41</v>
      </c>
      <c r="B299">
        <f t="shared" ca="1" si="3"/>
        <v>47</v>
      </c>
      <c r="D299" t="s">
        <v>80</v>
      </c>
    </row>
    <row r="300" spans="1:6" ht="15" thickBot="1">
      <c r="A300">
        <f t="shared" ca="1" si="4"/>
        <v>27</v>
      </c>
      <c r="B300">
        <f t="shared" ca="1" si="3"/>
        <v>25</v>
      </c>
    </row>
    <row r="301" spans="1:6">
      <c r="A301">
        <f t="shared" ca="1" si="4"/>
        <v>48</v>
      </c>
      <c r="B301">
        <f t="shared" ca="1" si="3"/>
        <v>42</v>
      </c>
      <c r="D301" s="8"/>
      <c r="E301" s="8" t="s">
        <v>78</v>
      </c>
      <c r="F301" s="8" t="s">
        <v>79</v>
      </c>
    </row>
    <row r="302" spans="1:6">
      <c r="A302">
        <f t="shared" ca="1" si="4"/>
        <v>47</v>
      </c>
      <c r="B302">
        <f t="shared" ca="1" si="3"/>
        <v>47</v>
      </c>
      <c r="D302" s="6" t="s">
        <v>81</v>
      </c>
      <c r="E302" s="6">
        <v>36.24</v>
      </c>
      <c r="F302" s="6">
        <v>36.76</v>
      </c>
    </row>
    <row r="303" spans="1:6">
      <c r="A303">
        <f t="shared" ca="1" si="4"/>
        <v>35</v>
      </c>
      <c r="B303">
        <f t="shared" ca="1" si="3"/>
        <v>41</v>
      </c>
      <c r="D303" s="6" t="s">
        <v>24</v>
      </c>
      <c r="E303" s="6">
        <v>60.689999999999905</v>
      </c>
      <c r="F303" s="6">
        <v>57.439999999999905</v>
      </c>
    </row>
    <row r="304" spans="1:6">
      <c r="A304">
        <f t="shared" ca="1" si="4"/>
        <v>26</v>
      </c>
      <c r="B304">
        <f t="shared" ca="1" si="3"/>
        <v>50</v>
      </c>
      <c r="D304" s="6" t="s">
        <v>82</v>
      </c>
      <c r="E304" s="6">
        <v>25</v>
      </c>
      <c r="F304" s="6">
        <v>25</v>
      </c>
    </row>
    <row r="305" spans="1:6">
      <c r="A305">
        <f t="shared" ca="1" si="4"/>
        <v>50</v>
      </c>
      <c r="B305">
        <f t="shared" ca="1" si="3"/>
        <v>40</v>
      </c>
      <c r="D305" s="6" t="s">
        <v>83</v>
      </c>
      <c r="E305" s="6">
        <v>59.064999999999905</v>
      </c>
      <c r="F305" s="6"/>
    </row>
    <row r="306" spans="1:6">
      <c r="A306">
        <f ca="1">RANDBETWEEN(25,50)</f>
        <v>39</v>
      </c>
      <c r="B306">
        <f t="shared" ca="1" si="3"/>
        <v>36</v>
      </c>
      <c r="D306" s="6" t="s">
        <v>84</v>
      </c>
      <c r="E306" s="6">
        <v>0</v>
      </c>
      <c r="F306" s="6"/>
    </row>
    <row r="307" spans="1:6">
      <c r="A307">
        <f t="shared" ca="1" si="4"/>
        <v>28</v>
      </c>
      <c r="B307">
        <f t="shared" ca="1" si="3"/>
        <v>39</v>
      </c>
      <c r="D307" s="6" t="s">
        <v>68</v>
      </c>
      <c r="E307" s="6">
        <v>48</v>
      </c>
      <c r="F307" s="6"/>
    </row>
    <row r="308" spans="1:6">
      <c r="A308">
        <f t="shared" ca="1" si="4"/>
        <v>38</v>
      </c>
      <c r="B308">
        <f t="shared" ca="1" si="3"/>
        <v>45</v>
      </c>
      <c r="D308" s="6" t="s">
        <v>85</v>
      </c>
      <c r="E308" s="6">
        <v>-0.23921766448454077</v>
      </c>
      <c r="F308" s="6"/>
    </row>
    <row r="309" spans="1:6">
      <c r="A309">
        <f ca="1">RANDBETWEEN(25,50)</f>
        <v>47</v>
      </c>
      <c r="B309">
        <f t="shared" ca="1" si="3"/>
        <v>50</v>
      </c>
      <c r="D309" s="6" t="s">
        <v>86</v>
      </c>
      <c r="E309" s="6">
        <v>0.40597765630925409</v>
      </c>
      <c r="F309" s="6"/>
    </row>
    <row r="310" spans="1:6">
      <c r="A310">
        <f t="shared" ca="1" si="4"/>
        <v>26</v>
      </c>
      <c r="B310">
        <f t="shared" ca="1" si="3"/>
        <v>40</v>
      </c>
      <c r="D310" s="6" t="s">
        <v>87</v>
      </c>
      <c r="E310" s="6">
        <v>1.6772241961243386</v>
      </c>
      <c r="F310" s="6"/>
    </row>
    <row r="311" spans="1:6">
      <c r="A311">
        <f t="shared" ca="1" si="4"/>
        <v>39</v>
      </c>
      <c r="B311">
        <f t="shared" ca="1" si="3"/>
        <v>39</v>
      </c>
      <c r="D311" s="6" t="s">
        <v>88</v>
      </c>
      <c r="E311" s="6">
        <v>0.81195531261850795</v>
      </c>
      <c r="F311" s="6"/>
    </row>
    <row r="312" spans="1:6" ht="15" thickBot="1">
      <c r="A312">
        <f t="shared" ca="1" si="4"/>
        <v>48</v>
      </c>
      <c r="B312">
        <f t="shared" ca="1" si="3"/>
        <v>28</v>
      </c>
      <c r="D312" s="7" t="s">
        <v>89</v>
      </c>
      <c r="E312" s="7">
        <v>2.0106347576242314</v>
      </c>
      <c r="F312" s="7"/>
    </row>
    <row r="313" spans="1:6">
      <c r="A313">
        <f t="shared" ca="1" si="4"/>
        <v>44</v>
      </c>
      <c r="B313">
        <f t="shared" ca="1" si="3"/>
        <v>49</v>
      </c>
    </row>
    <row r="314" spans="1:6">
      <c r="A314">
        <f t="shared" ca="1" si="4"/>
        <v>32</v>
      </c>
      <c r="B314">
        <f t="shared" ca="1" si="3"/>
        <v>37</v>
      </c>
    </row>
    <row r="315" spans="1:6">
      <c r="A315">
        <f t="shared" ca="1" si="4"/>
        <v>44</v>
      </c>
      <c r="B315">
        <f t="shared" ca="1" si="3"/>
        <v>34</v>
      </c>
    </row>
    <row r="316" spans="1:6">
      <c r="A316">
        <f ca="1">RANDBETWEEN(25,50)</f>
        <v>39</v>
      </c>
      <c r="B316">
        <f t="shared" ca="1" si="3"/>
        <v>30</v>
      </c>
    </row>
    <row r="318" spans="1:6">
      <c r="A318" s="5" t="s">
        <v>92</v>
      </c>
      <c r="B318" s="5"/>
      <c r="C318" s="5" t="s">
        <v>71</v>
      </c>
      <c r="D318" t="s">
        <v>76</v>
      </c>
      <c r="E318" t="s">
        <v>94</v>
      </c>
    </row>
    <row r="319" spans="1:6">
      <c r="A319" s="5">
        <v>1.68</v>
      </c>
      <c r="B319" s="5" t="s">
        <v>74</v>
      </c>
      <c r="C319" s="5">
        <v>-0.23899999999999999</v>
      </c>
    </row>
    <row r="320" spans="1:6">
      <c r="A320" s="5" t="s">
        <v>72</v>
      </c>
      <c r="B320" s="5"/>
      <c r="C320" s="5" t="s">
        <v>61</v>
      </c>
    </row>
    <row r="321" spans="1:3">
      <c r="A321" s="5" t="s">
        <v>93</v>
      </c>
      <c r="B321" s="5" t="s">
        <v>74</v>
      </c>
      <c r="C321" s="5">
        <v>0.05</v>
      </c>
    </row>
    <row r="324" spans="1:3">
      <c r="A324" t="s">
        <v>95</v>
      </c>
    </row>
    <row r="325" spans="1:3">
      <c r="A325" t="s">
        <v>58</v>
      </c>
      <c r="B325">
        <v>500</v>
      </c>
    </row>
    <row r="326" spans="1:3">
      <c r="A326" t="s">
        <v>96</v>
      </c>
      <c r="B326">
        <v>320</v>
      </c>
    </row>
    <row r="327" spans="1:3">
      <c r="A327" t="s">
        <v>97</v>
      </c>
      <c r="B327">
        <v>0.9</v>
      </c>
    </row>
    <row r="329" spans="1:3">
      <c r="A329" t="s">
        <v>98</v>
      </c>
      <c r="B329">
        <f>B326/B325</f>
        <v>0.64</v>
      </c>
    </row>
    <row r="330" spans="1:3">
      <c r="A330" t="s">
        <v>99</v>
      </c>
      <c r="B330">
        <f>_xlfn.NORM.S.INV(1-(1-B327)/2)</f>
        <v>1.6448536269514715</v>
      </c>
    </row>
    <row r="332" spans="1:3">
      <c r="A332" t="s">
        <v>100</v>
      </c>
      <c r="B332">
        <f>(320/500)-1.645*SQRT((320/500)*(1-(320/500))/500)</f>
        <v>0.6046880144993233</v>
      </c>
    </row>
    <row r="333" spans="1:3">
      <c r="A333" t="s">
        <v>101</v>
      </c>
      <c r="B333">
        <f>(320/500)+1.645*SQRT((320/500)*(1-(320/500))/500)</f>
        <v>0.67531198550067673</v>
      </c>
    </row>
    <row r="336" spans="1:3">
      <c r="A336" t="s">
        <v>102</v>
      </c>
    </row>
    <row r="338" spans="1:2">
      <c r="A338" t="s">
        <v>103</v>
      </c>
      <c r="B338">
        <v>2</v>
      </c>
    </row>
    <row r="339" spans="1:2">
      <c r="A339" t="s">
        <v>104</v>
      </c>
      <c r="B339">
        <v>3</v>
      </c>
    </row>
    <row r="340" spans="1:2">
      <c r="A340" t="s">
        <v>105</v>
      </c>
      <c r="B340">
        <f>_xlfn.POISSON.DIST(3,2,0)</f>
        <v>0.18044704431548364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Vrushti Shah</dc:creator>
  <cp:lastModifiedBy>Vrushti Shah</cp:lastModifiedBy>
  <dcterms:created xsi:type="dcterms:W3CDTF">2026-03-21T08:33:52Z</dcterms:created>
  <dcterms:modified xsi:type="dcterms:W3CDTF">2026-04-04T15:29:21Z</dcterms:modified>
</cp:coreProperties>
</file>